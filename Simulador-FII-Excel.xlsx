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xr:revisionPtr revIDLastSave="0" documentId="8_{4133DFF3-69BA-4DCD-9B59-EC8F3A6A305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Dashboard" sheetId="1" r:id="rId1"/>
    <sheet name="Evolução Mensal" sheetId="3" r:id="rId2"/>
    <sheet name="Configurações e Perfis" sheetId="5" state="hidden" r:id="rId3"/>
    <sheet name="Ativos" sheetId="8" state="hidden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1" l="1"/>
  <c r="F8" i="1"/>
  <c r="F4" i="1"/>
  <c r="F6" i="1" s="1"/>
  <c r="G11" i="8" a="1"/>
  <c r="G11" i="8"/>
  <c r="K9" i="1"/>
  <c r="K8" i="1"/>
  <c r="K7" i="1"/>
  <c r="K6" i="1"/>
  <c r="K5" i="1"/>
  <c r="K4" i="1"/>
  <c r="C2" i="3"/>
  <c r="A21" i="3"/>
  <c r="A22" i="3"/>
  <c r="A23" i="3"/>
  <c r="A24" i="3"/>
  <c r="A25" i="3"/>
  <c r="A26" i="3"/>
  <c r="A27" i="3"/>
  <c r="A28" i="3"/>
  <c r="A29" i="3"/>
  <c r="A30" i="3"/>
  <c r="A31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3" i="3"/>
  <c r="C3" i="3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B2" i="3"/>
  <c r="D2" i="3" l="1"/>
  <c r="E2" i="3" s="1"/>
  <c r="B3" i="3" s="1"/>
  <c r="D3" i="3"/>
  <c r="E3" i="3"/>
  <c r="B4" i="3" s="1"/>
  <c r="D4" i="3" l="1"/>
  <c r="E4" i="3" s="1"/>
  <c r="B5" i="3" s="1"/>
  <c r="D5" i="3" l="1"/>
  <c r="E5" i="3"/>
  <c r="B6" i="3" s="1"/>
  <c r="D6" i="3" l="1"/>
  <c r="E6" i="3"/>
  <c r="B7" i="3" s="1"/>
  <c r="D7" i="3" l="1"/>
  <c r="E7" i="3"/>
  <c r="B8" i="3" s="1"/>
  <c r="D8" i="3" l="1"/>
  <c r="E8" i="3"/>
  <c r="B9" i="3" s="1"/>
  <c r="D9" i="3" l="1"/>
  <c r="E9" i="3"/>
  <c r="B10" i="3" s="1"/>
  <c r="D10" i="3" l="1"/>
  <c r="E10" i="3"/>
  <c r="B11" i="3" s="1"/>
  <c r="D11" i="3" l="1"/>
  <c r="E11" i="3"/>
  <c r="B12" i="3" s="1"/>
  <c r="D12" i="3" l="1"/>
  <c r="E12" i="3"/>
  <c r="B13" i="3" s="1"/>
  <c r="D13" i="3" l="1"/>
  <c r="E13" i="3"/>
  <c r="B14" i="3" s="1"/>
  <c r="D14" i="3" l="1"/>
  <c r="E14" i="3"/>
  <c r="B15" i="3" s="1"/>
  <c r="D15" i="3" l="1"/>
  <c r="E15" i="3"/>
  <c r="B16" i="3" s="1"/>
  <c r="D16" i="3" l="1"/>
  <c r="E16" i="3"/>
  <c r="B17" i="3" s="1"/>
  <c r="D17" i="3" l="1"/>
  <c r="E17" i="3"/>
  <c r="B18" i="3" s="1"/>
  <c r="D18" i="3" l="1"/>
  <c r="E18" i="3"/>
  <c r="B19" i="3" s="1"/>
  <c r="D19" i="3" l="1"/>
  <c r="E19" i="3"/>
  <c r="B20" i="3" s="1"/>
  <c r="D20" i="3" l="1"/>
  <c r="E20" i="3"/>
  <c r="B21" i="3" s="1"/>
  <c r="D21" i="3" l="1"/>
  <c r="E21" i="3" s="1"/>
  <c r="B22" i="3" s="1"/>
  <c r="D22" i="3" s="1"/>
  <c r="E22" i="3" s="1"/>
  <c r="B23" i="3" s="1"/>
  <c r="D23" i="3" s="1"/>
  <c r="E23" i="3" s="1"/>
  <c r="B24" i="3" s="1"/>
  <c r="D24" i="3" s="1"/>
  <c r="E24" i="3" s="1"/>
  <c r="B25" i="3" s="1"/>
  <c r="D25" i="3" s="1"/>
  <c r="E25" i="3" s="1"/>
  <c r="B26" i="3" s="1"/>
  <c r="D26" i="3" s="1"/>
  <c r="E26" i="3" s="1"/>
  <c r="B27" i="3" s="1"/>
  <c r="D27" i="3" s="1"/>
  <c r="E27" i="3" s="1"/>
  <c r="B28" i="3" s="1"/>
  <c r="D28" i="3" s="1"/>
  <c r="E28" i="3" s="1"/>
  <c r="B29" i="3" s="1"/>
  <c r="D29" i="3" s="1"/>
  <c r="E29" i="3" s="1"/>
  <c r="B30" i="3" s="1"/>
  <c r="D30" i="3" s="1"/>
  <c r="E30" i="3" s="1"/>
  <c r="B31" i="3" s="1"/>
  <c r="D31" i="3" s="1"/>
  <c r="E31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<sst xmlns="http://schemas.openxmlformats.org/spreadsheetml/2006/main" count="88" uniqueCount="49">
  <si>
    <t>CONFIGURACIÓN</t>
  </si>
  <si>
    <t>Tipo</t>
  </si>
  <si>
    <t>Porcentagem</t>
  </si>
  <si>
    <t>Investimento Inicial</t>
  </si>
  <si>
    <t>PATRIMÔNIO TOTAL</t>
  </si>
  <si>
    <t>PAPEL</t>
  </si>
  <si>
    <t>Aporte Mensal</t>
  </si>
  <si>
    <t>TIJOLO</t>
  </si>
  <si>
    <t>Anos</t>
  </si>
  <si>
    <t>RENDA MENSAL</t>
  </si>
  <si>
    <t>HÍBRIDOS</t>
  </si>
  <si>
    <t>Taxa Mensal (%)</t>
  </si>
  <si>
    <t>FOFs</t>
  </si>
  <si>
    <t>DINHEIRO DO BOLSO</t>
  </si>
  <si>
    <t>DESENVOLVIMENTO</t>
  </si>
  <si>
    <t>Perfil de Investimento</t>
  </si>
  <si>
    <t>Conservador</t>
  </si>
  <si>
    <t>HOTELARIA</t>
  </si>
  <si>
    <t>STATUS</t>
  </si>
  <si>
    <t>Mês</t>
  </si>
  <si>
    <t xml:space="preserve"> Saldo Inicial</t>
  </si>
  <si>
    <t xml:space="preserve"> Dividendos (Juros)</t>
  </si>
  <si>
    <t xml:space="preserve"> Saldo Final</t>
  </si>
  <si>
    <t xml:space="preserve">Perfil </t>
  </si>
  <si>
    <t xml:space="preserve">Tipo de FII </t>
  </si>
  <si>
    <t xml:space="preserve">% Alocação </t>
  </si>
  <si>
    <t>Moderado</t>
  </si>
  <si>
    <t>Agressivo</t>
  </si>
  <si>
    <t>TIPO</t>
  </si>
  <si>
    <t>TICKET (Código)</t>
  </si>
  <si>
    <t>NOME DO FUNDO</t>
  </si>
  <si>
    <t>DESCRIÇÃO</t>
  </si>
  <si>
    <t>MXRF11</t>
  </si>
  <si>
    <t>Maxi Renda</t>
  </si>
  <si>
    <t>O mais popular, investe em dívida imobiliária.</t>
  </si>
  <si>
    <t>CPTS11</t>
  </si>
  <si>
    <t>Capitânia Securities</t>
  </si>
  <si>
    <t>Foco em títulos de crédito (CRIs).</t>
  </si>
  <si>
    <t>HGLG11</t>
  </si>
  <si>
    <t>CSHG Logística</t>
  </si>
  <si>
    <t>Galpões logísticos de alto padrão.</t>
  </si>
  <si>
    <t>XPML11</t>
  </si>
  <si>
    <t>XP Malls</t>
  </si>
  <si>
    <t>Shoppings em grandes cidades.</t>
  </si>
  <si>
    <t>HÍBRIDO</t>
  </si>
  <si>
    <t>KNRI11</t>
  </si>
  <si>
    <t>Kinea Renda</t>
  </si>
  <si>
    <t>Mistura escritórios e galpões.</t>
  </si>
  <si>
    <t>Sugestão de Ativos para Você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</si>
</sst>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13">
    <font>
      <sz val="11"/>
      <color theme="1"/>
      <name val="Aptos Narrow"/>
      <family val="2"/>
      <scheme val="minor"/>
    </font>
    <font>
      <b/>
      <sz val="11"/>
      <color rgb="FF1F1F1F"/>
      <name val="Google Sans Text"/>
      <family val="2"/>
      <charset val="1"/>
    </font>
    <font>
      <sz val="11"/>
      <color rgb="FF1F1F1F"/>
      <name val="Google Sans Text"/>
      <family val="2"/>
      <charset val="1"/>
    </font>
    <font>
      <sz val="11"/>
      <color rgb="FF000000"/>
      <name val="Aptos Narrow"/>
      <scheme val="minor"/>
    </font>
    <font>
      <sz val="11"/>
      <color rgb="FF000000"/>
      <name val="Aptos Narrow"/>
      <family val="2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rgb="FF0F4762"/>
      <name val="Aptos Narrow"/>
      <scheme val="minor"/>
    </font>
    <font>
      <sz val="14"/>
      <color theme="1"/>
      <name val="Aptos Narrow"/>
      <family val="2"/>
      <scheme val="minor"/>
    </font>
    <font>
      <b/>
      <sz val="14"/>
      <color rgb="FF1F1F1F"/>
      <name val="Google Sans Text"/>
      <family val="2"/>
      <charset val="1"/>
    </font>
    <font>
      <sz val="14"/>
      <color rgb="FF1F1F1F"/>
      <name val="Google Sans Text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/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rgb="FF1F1F1F"/>
      </left>
      <right/>
      <top style="thin">
        <color rgb="FF1F1F1F"/>
      </top>
      <bottom style="thin">
        <color rgb="FF1F1F1F"/>
      </bottom>
      <diagonal/>
    </border>
    <border>
      <left/>
      <right style="thin">
        <color rgb="FF1F1F1F"/>
      </right>
      <top/>
      <bottom style="thin">
        <color rgb="FF1F1F1F"/>
      </bottom>
      <diagonal/>
    </border>
    <border>
      <left style="thin">
        <color rgb="FF1F1F1F"/>
      </left>
      <right/>
      <top/>
      <bottom style="thin">
        <color rgb="FF1F1F1F"/>
      </bottom>
      <diagonal/>
    </border>
    <border>
      <left/>
      <right style="thin">
        <color rgb="FF1F1F1F"/>
      </right>
      <top style="thin">
        <color rgb="FF1F1F1F"/>
      </top>
      <bottom/>
      <diagonal/>
    </border>
    <border>
      <left style="thin">
        <color rgb="FF1F1F1F"/>
      </left>
      <right/>
      <top style="thin">
        <color rgb="FF1F1F1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/>
      <right/>
      <top/>
      <bottom style="thin">
        <color theme="6"/>
      </bottom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/>
      <diagonal/>
    </border>
    <border>
      <left/>
      <right style="thin">
        <color theme="4" tint="0.39997558519241921"/>
      </right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164" fontId="0" fillId="0" borderId="0" xfId="0" applyNumberFormat="1"/>
    <xf numFmtId="0" fontId="3" fillId="0" borderId="0" xfId="0" applyFont="1"/>
    <xf numFmtId="0" fontId="0" fillId="3" borderId="9" xfId="0" applyFill="1" applyBorder="1"/>
    <xf numFmtId="0" fontId="0" fillId="3" borderId="12" xfId="0" applyFill="1" applyBorder="1"/>
    <xf numFmtId="0" fontId="0" fillId="3" borderId="0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0" borderId="0" xfId="0" applyBorder="1"/>
    <xf numFmtId="0" fontId="0" fillId="0" borderId="18" xfId="0" applyBorder="1"/>
    <xf numFmtId="0" fontId="5" fillId="3" borderId="12" xfId="0" applyFont="1" applyFill="1" applyBorder="1"/>
    <xf numFmtId="0" fontId="6" fillId="3" borderId="10" xfId="0" applyFont="1" applyFill="1" applyBorder="1"/>
    <xf numFmtId="0" fontId="6" fillId="3" borderId="11" xfId="0" applyFont="1" applyFill="1" applyBorder="1"/>
    <xf numFmtId="0" fontId="6" fillId="3" borderId="0" xfId="0" applyFont="1" applyFill="1" applyBorder="1"/>
    <xf numFmtId="0" fontId="6" fillId="3" borderId="13" xfId="0" applyFont="1" applyFill="1" applyBorder="1"/>
    <xf numFmtId="0" fontId="1" fillId="0" borderId="1" xfId="0" applyFont="1" applyBorder="1" applyAlignment="1">
      <alignment horizontal="center" vertical="center" readingOrder="1"/>
    </xf>
    <xf numFmtId="0" fontId="1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readingOrder="1"/>
    </xf>
    <xf numFmtId="0" fontId="2" fillId="0" borderId="1" xfId="0" applyFont="1" applyBorder="1" applyAlignment="1">
      <alignment horizontal="center" vertical="center" wrapText="1" readingOrder="1"/>
    </xf>
    <xf numFmtId="0" fontId="1" fillId="0" borderId="8" xfId="0" applyFont="1" applyBorder="1" applyAlignment="1">
      <alignment horizontal="center" vertical="center" readingOrder="1"/>
    </xf>
    <xf numFmtId="0" fontId="2" fillId="0" borderId="8" xfId="0" applyFont="1" applyBorder="1" applyAlignment="1">
      <alignment horizontal="center" vertical="center" readingOrder="1"/>
    </xf>
    <xf numFmtId="9" fontId="4" fillId="0" borderId="8" xfId="0" applyNumberFormat="1" applyFont="1" applyBorder="1" applyAlignment="1">
      <alignment horizontal="center" vertical="center"/>
    </xf>
    <xf numFmtId="9" fontId="4" fillId="2" borderId="8" xfId="0" applyNumberFormat="1" applyFont="1" applyFill="1" applyBorder="1" applyAlignment="1">
      <alignment horizontal="center" vertical="center"/>
    </xf>
    <xf numFmtId="0" fontId="8" fillId="4" borderId="21" xfId="0" applyFont="1" applyFill="1" applyBorder="1" applyAlignment="1">
      <alignment horizontal="center" vertical="center"/>
    </xf>
    <xf numFmtId="0" fontId="0" fillId="4" borderId="0" xfId="0" applyFill="1"/>
    <xf numFmtId="0" fontId="7" fillId="4" borderId="0" xfId="0" applyFont="1" applyFill="1"/>
    <xf numFmtId="0" fontId="9" fillId="4" borderId="20" xfId="0" applyFont="1" applyFill="1" applyBorder="1" applyAlignment="1">
      <alignment horizontal="center" vertical="center"/>
    </xf>
    <xf numFmtId="0" fontId="10" fillId="4" borderId="0" xfId="0" applyFont="1" applyFill="1"/>
    <xf numFmtId="0" fontId="10" fillId="4" borderId="0" xfId="0" applyFont="1" applyFill="1" applyAlignment="1">
      <alignment horizontal="center" vertical="center"/>
    </xf>
    <xf numFmtId="0" fontId="11" fillId="4" borderId="4" xfId="0" applyFont="1" applyFill="1" applyBorder="1" applyAlignment="1">
      <alignment horizontal="center" vertical="center" readingOrder="1"/>
    </xf>
    <xf numFmtId="0" fontId="11" fillId="4" borderId="5" xfId="0" applyFont="1" applyFill="1" applyBorder="1" applyAlignment="1">
      <alignment horizontal="center" vertical="center" readingOrder="1"/>
    </xf>
    <xf numFmtId="0" fontId="12" fillId="4" borderId="2" xfId="0" applyFont="1" applyFill="1" applyBorder="1" applyAlignment="1">
      <alignment horizontal="center" vertical="center" readingOrder="1"/>
    </xf>
    <xf numFmtId="9" fontId="12" fillId="4" borderId="3" xfId="0" applyNumberFormat="1" applyFont="1" applyFill="1" applyBorder="1" applyAlignment="1">
      <alignment horizontal="center" vertical="center" readingOrder="1"/>
    </xf>
    <xf numFmtId="0" fontId="12" fillId="4" borderId="6" xfId="0" applyFont="1" applyFill="1" applyBorder="1" applyAlignment="1">
      <alignment horizontal="center" vertical="center" readingOrder="1"/>
    </xf>
    <xf numFmtId="9" fontId="12" fillId="4" borderId="7" xfId="0" applyNumberFormat="1" applyFont="1" applyFill="1" applyBorder="1" applyAlignment="1">
      <alignment horizontal="center" vertical="center" wrapText="1" readingOrder="1"/>
    </xf>
    <xf numFmtId="0" fontId="12" fillId="4" borderId="1" xfId="0" applyFont="1" applyFill="1" applyBorder="1" applyAlignment="1">
      <alignment horizontal="center" vertical="center" readingOrder="1"/>
    </xf>
    <xf numFmtId="9" fontId="12" fillId="4" borderId="1" xfId="0" applyNumberFormat="1" applyFont="1" applyFill="1" applyBorder="1" applyAlignment="1">
      <alignment horizontal="center" vertical="center" readingOrder="1"/>
    </xf>
    <xf numFmtId="0" fontId="10" fillId="4" borderId="19" xfId="0" applyFont="1" applyFill="1" applyBorder="1" applyAlignment="1">
      <alignment horizontal="center" vertical="center"/>
    </xf>
    <xf numFmtId="8" fontId="10" fillId="4" borderId="19" xfId="0" applyNumberFormat="1" applyFont="1" applyFill="1" applyBorder="1" applyAlignment="1">
      <alignment horizontal="center" vertical="center"/>
    </xf>
    <xf numFmtId="164" fontId="10" fillId="4" borderId="19" xfId="0" applyNumberFormat="1" applyFont="1" applyFill="1" applyBorder="1" applyAlignment="1">
      <alignment horizontal="center" vertical="center"/>
    </xf>
    <xf numFmtId="0" fontId="10" fillId="4" borderId="17" xfId="0" applyFont="1" applyFill="1" applyBorder="1" applyAlignment="1">
      <alignment horizontal="center" vertical="center"/>
    </xf>
    <xf numFmtId="164" fontId="10" fillId="4" borderId="17" xfId="0" applyNumberFormat="1" applyFont="1" applyFill="1" applyBorder="1" applyAlignment="1">
      <alignment horizontal="center" vertical="center"/>
    </xf>
    <xf numFmtId="10" fontId="10" fillId="4" borderId="17" xfId="0" applyNumberFormat="1" applyFont="1" applyFill="1" applyBorder="1" applyAlignment="1">
      <alignment horizontal="center" vertical="center"/>
    </xf>
    <xf numFmtId="0" fontId="8" fillId="4" borderId="22" xfId="0" applyFont="1" applyFill="1" applyBorder="1" applyAlignment="1">
      <alignment horizontal="center" vertical="center"/>
    </xf>
    <xf numFmtId="0" fontId="8" fillId="4" borderId="23" xfId="0" applyFont="1" applyFill="1" applyBorder="1" applyAlignment="1">
      <alignment horizontal="center" vertical="center"/>
    </xf>
  </cellXfs>
  <cellStyles count="1">
    <cellStyle name="Normal" xfId="0" builtinId="0"/>
  </cellStyles>
  <dxfs count="12"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F1F1F"/>
        <name val="Google Sans Text"/>
        <family val="2"/>
        <charset val="1"/>
        <scheme val="none"/>
      </font>
      <numFmt numFmtId="13" formatCode="0%"/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rgb="FF1F1F1F"/>
        </left>
        <right/>
        <top style="thin">
          <color rgb="FF1F1F1F"/>
        </top>
        <bottom style="thin">
          <color rgb="FF1F1F1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F1F1F"/>
        <name val="Google Sans Text"/>
        <family val="2"/>
        <charset val="1"/>
        <scheme val="none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1"/>
      <border diagonalUp="0" diagonalDown="0">
        <left/>
        <right style="thin">
          <color rgb="FF1F1F1F"/>
        </right>
        <top style="thin">
          <color rgb="FF1F1F1F"/>
        </top>
        <bottom style="thin">
          <color rgb="FF1F1F1F"/>
        </bottom>
        <vertical/>
        <horizontal/>
      </border>
    </dxf>
    <dxf>
      <border outline="0">
        <top style="thin">
          <color rgb="FF1F1F1F"/>
        </top>
      </border>
    </dxf>
    <dxf>
      <border outline="0">
        <bottom style="thin">
          <color rgb="FF1F1F1F"/>
        </bottom>
      </border>
    </dxf>
    <dxf>
      <border outline="0">
        <left style="thin">
          <color rgb="FF1F1F1F"/>
        </left>
        <right style="thin">
          <color rgb="FF1F1F1F"/>
        </right>
        <top style="thin">
          <color rgb="FF1F1F1F"/>
        </top>
        <bottom style="thin">
          <color rgb="FF1F1F1F"/>
        </bottom>
      </border>
    </dxf>
    <dxf>
      <font>
        <sz val="14"/>
        <family val="2"/>
        <charset val="1"/>
      </font>
      <fill>
        <patternFill patternType="solid">
          <fgColor indexed="64"/>
          <bgColor theme="8" tint="0.79998168889431442"/>
        </patternFill>
      </fill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1F1F1F"/>
        <name val="Google Sans Text"/>
        <family val="2"/>
        <charset val="1"/>
        <scheme val="none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rgb="FF1F1F1F"/>
        </left>
        <right style="thin">
          <color rgb="FF1F1F1F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202-4A7B-8397-5CEBCCAC7B3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202-4A7B-8397-5CEBCCAC7B3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202-4A7B-8397-5CEBCCAC7B3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202-4A7B-8397-5CEBCCAC7B3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202-4A7B-8397-5CEBCCAC7B3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202-4A7B-8397-5CEBCCAC7B37}"/>
              </c:ext>
            </c:extLst>
          </c:dPt>
          <c:dLbls>
            <c:dLbl>
              <c:idx val="0"/>
              <c:layout>
                <c:manualLayout>
                  <c:x val="7.3190938885515242E-2"/>
                  <c:y val="1.8315577245020605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202-4A7B-8397-5CEBCCAC7B37}"/>
                </c:ext>
              </c:extLst>
            </c:dLbl>
            <c:dLbl>
              <c:idx val="1"/>
              <c:layout>
                <c:manualLayout>
                  <c:x val="4.8917357766466656E-2"/>
                  <c:y val="0.1635349427475411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202-4A7B-8397-5CEBCCAC7B37}"/>
                </c:ext>
              </c:extLst>
            </c:dLbl>
            <c:dLbl>
              <c:idx val="2"/>
              <c:layout>
                <c:manualLayout>
                  <c:x val="-0.22180782583781816"/>
                  <c:y val="0.13182715351312846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202-4A7B-8397-5CEBCCAC7B37}"/>
                </c:ext>
              </c:extLst>
            </c:dLbl>
            <c:dLbl>
              <c:idx val="3"/>
              <c:layout>
                <c:manualLayout>
                  <c:x val="-9.8553640826948494E-2"/>
                  <c:y val="2.07156883570209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202-4A7B-8397-5CEBCCAC7B37}"/>
                </c:ext>
              </c:extLst>
            </c:dLbl>
            <c:dLbl>
              <c:idx val="4"/>
              <c:layout>
                <c:manualLayout>
                  <c:x val="-0.33554513661483604"/>
                  <c:y val="-8.146902850733840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202-4A7B-8397-5CEBCCAC7B37}"/>
                </c:ext>
              </c:extLst>
            </c:dLbl>
            <c:dLbl>
              <c:idx val="5"/>
              <c:layout>
                <c:manualLayout>
                  <c:x val="0.2597295856569895"/>
                  <c:y val="-0.11031959705551379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202-4A7B-8397-5CEBCCAC7B3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Dashboard!$J$4:$J$9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</c:v>
                </c:pt>
              </c:strCache>
            </c:strRef>
          </c:cat>
          <c:val>
            <c:numRef>
              <c:f>Dashboard!$K$4:$K$9</c:f>
              <c:numCache>
                <c:formatCode>0%</c:formatCode>
                <c:ptCount val="6"/>
                <c:pt idx="0">
                  <c:v>0.5</c:v>
                </c:pt>
                <c:pt idx="1">
                  <c:v>0.3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3F-4273-A1ED-EB50313DEC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8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542925</xdr:colOff>
      <xdr:row>10</xdr:row>
      <xdr:rowOff>28575</xdr:rowOff>
    </xdr:from>
    <xdr:to>
      <xdr:col>10</xdr:col>
      <xdr:colOff>314325</xdr:colOff>
      <xdr:row>25</xdr:row>
      <xdr:rowOff>9525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708DEF2-F0C4-3515-12F2-D0C9092E86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F7A0F19-C7AB-4FEC-84DB-146146CCA507}" name="Tabela2" displayName="Tabela2" ref="J3:K8" totalsRowShown="0" headerRowDxfId="11" dataDxfId="10" headerRowBorderDxfId="8" tableBorderDxfId="9" totalsRowBorderDxfId="7">
  <autoFilter ref="J3:K8" xr:uid="{FF7A0F19-C7AB-4FEC-84DB-146146CCA507}"/>
  <tableColumns count="2">
    <tableColumn id="1" xr3:uid="{39FC3D6A-1EC7-40A8-A6BA-C624CCB16C72}" name="Tipo" dataDxfId="6"/>
    <tableColumn id="2" xr3:uid="{880D174E-C053-46B3-BE37-C70FA323E059}" name="Porcentagem" dataDxfId="5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26204CF-7938-47F8-9111-DA3826FC0138}" name="Tabela3" displayName="Tabela3" ref="A1:E31" totalsRowShown="0" headerRowDxfId="4">
  <autoFilter ref="A1:E31" xr:uid="{326204CF-7938-47F8-9111-DA3826FC0138}"/>
  <tableColumns count="5">
    <tableColumn id="1" xr3:uid="{852F16AC-2406-4D2E-91EF-3D47BC79F3EF}" name="Mês">
      <calculatedColumnFormula>A1+1</calculatedColumnFormula>
    </tableColumn>
    <tableColumn id="2" xr3:uid="{022B0463-E617-4EA4-B878-E9923DCE478A}" name=" Saldo Inicial" dataDxfId="3">
      <calculatedColumnFormula>E1</calculatedColumnFormula>
    </tableColumn>
    <tableColumn id="3" xr3:uid="{81D90B67-4DAB-4C92-B167-C05D192A5C21}" name="Aporte Mensal" dataDxfId="2">
      <calculatedColumnFormula>C1</calculatedColumnFormula>
    </tableColumn>
    <tableColumn id="4" xr3:uid="{3351CD3F-CF9F-4530-926B-7B9845933F69}" name=" Dividendos (Juros)" dataDxfId="1">
      <calculatedColumnFormula>B2 * Dashboard!$B$7</calculatedColumnFormula>
    </tableColumn>
    <tableColumn id="5" xr3:uid="{09DF2664-F4FF-4B1A-A248-94B8E453EC3B}" name=" Saldo Final" dataDxfId="0">
      <calculatedColumnFormula>B2 + C2 + D2</calculatedColumnFormula>
    </tableColumn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79998168889431442"/>
  </sheetPr>
  <dimension ref="A2:K20"/>
  <sheetViews>
    <sheetView showGridLines="0" showRowColHeaders="0" tabSelected="1" workbookViewId="0">
      <selection activeCell="D18" sqref="D18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/>
  <cols>
    <col min="1" max="1" width="25.5703125" style="25" customWidth="1"/>
    <col min="2" max="2" width="20.28515625" style="25" customWidth="1"/>
    <col min="3" max="3" width="14.42578125" style="25" customWidth="1"/>
    <col min="4" max="4" width="19.42578125" style="25" bestFit="1" customWidth="1"/>
    <col min="5" max="5" width="26.28515625" style="25" customWidth="1"/>
    <col min="6" max="6" width="17.140625" style="25" customWidth="1"/>
    <col min="7" max="8" width="9.140625" style="25"/>
    <col min="9" max="9" width="0.140625" style="25" customWidth="1"/>
    <col min="10" max="10" width="31.28515625" style="25" customWidth="1"/>
    <col min="11" max="11" width="23.7109375" style="25" customWidth="1"/>
    <col min="12" max="12" width="25.28515625" style="25" customWidth="1"/>
    <col min="13" max="16384" width="9.140625" style="25"/>
  </cols>
  <sheetData>
    <row r="2" spans="1:11" ht="18.75">
      <c r="A2" s="27" t="s">
        <v>0</v>
      </c>
      <c r="B2" s="24"/>
      <c r="J2" s="29"/>
      <c r="K2" s="29"/>
    </row>
    <row r="3" spans="1:11" ht="18">
      <c r="A3" s="44"/>
      <c r="B3" s="45"/>
      <c r="J3" s="30" t="s">
        <v>1</v>
      </c>
      <c r="K3" s="31" t="s">
        <v>2</v>
      </c>
    </row>
    <row r="4" spans="1:11" ht="18.75">
      <c r="A4" s="41" t="s">
        <v>3</v>
      </c>
      <c r="B4" s="42">
        <v>10000</v>
      </c>
      <c r="E4" s="38" t="s">
        <v>4</v>
      </c>
      <c r="F4" s="39">
        <f>FV(B7, B6*12, -B5, -B4)</f>
        <v>126126.13225775251</v>
      </c>
      <c r="J4" s="32" t="s">
        <v>5</v>
      </c>
      <c r="K4" s="33">
        <f>SUMIFS('Configurações e Perfis'!D:D, 'Configurações e Perfis'!B:B, B9, 'Configurações e Perfis'!C:C, "PAPEL")</f>
        <v>0.5</v>
      </c>
    </row>
    <row r="5" spans="1:11" ht="18.75">
      <c r="A5" s="41" t="s">
        <v>6</v>
      </c>
      <c r="B5" s="42">
        <v>500</v>
      </c>
      <c r="E5" s="38"/>
      <c r="F5" s="38"/>
      <c r="J5" s="32" t="s">
        <v>7</v>
      </c>
      <c r="K5" s="33">
        <f>SUMIFS('Configurações e Perfis'!D:D, 'Configurações e Perfis'!B:B, B9, 'Configurações e Perfis'!C:C, "TIJOLO")</f>
        <v>0.3</v>
      </c>
    </row>
    <row r="6" spans="1:11" ht="18.75">
      <c r="A6" s="41" t="s">
        <v>8</v>
      </c>
      <c r="B6" s="41">
        <v>10</v>
      </c>
      <c r="E6" s="38" t="s">
        <v>9</v>
      </c>
      <c r="F6" s="39">
        <f>F4 * B7</f>
        <v>1009.0090580620201</v>
      </c>
      <c r="J6" s="32" t="s">
        <v>10</v>
      </c>
      <c r="K6" s="33">
        <f>SUMIFS('Configurações e Perfis'!D:D, 'Configurações e Perfis'!B:B, B9, 'Configurações e Perfis'!C:C, "HÍBRIDOS")</f>
        <v>0.1</v>
      </c>
    </row>
    <row r="7" spans="1:11" ht="18.75">
      <c r="A7" s="41" t="s">
        <v>11</v>
      </c>
      <c r="B7" s="43">
        <v>8.0000000000000002E-3</v>
      </c>
      <c r="E7" s="38"/>
      <c r="F7" s="38"/>
      <c r="J7" s="32" t="s">
        <v>12</v>
      </c>
      <c r="K7" s="33">
        <f>SUMIFS('Configurações e Perfis'!D:D, 'Configurações e Perfis'!B:B, B9, 'Configurações e Perfis'!C:C, "FOFs")</f>
        <v>0.1</v>
      </c>
    </row>
    <row r="8" spans="1:11" ht="17.25" customHeight="1">
      <c r="A8" s="41"/>
      <c r="B8" s="41"/>
      <c r="E8" s="38" t="s">
        <v>13</v>
      </c>
      <c r="F8" s="40">
        <f>B4 + (B5 * B6 * 12)</f>
        <v>70000</v>
      </c>
      <c r="J8" s="34" t="s">
        <v>14</v>
      </c>
      <c r="K8" s="35">
        <f>SUMIFS('Configurações e Perfis'!D:D, 'Configurações e Perfis'!B:B, B9, 'Configurações e Perfis'!C:C, "DESENVOLVIMENTO")</f>
        <v>0</v>
      </c>
    </row>
    <row r="9" spans="1:11" ht="18.75">
      <c r="A9" s="41" t="s">
        <v>15</v>
      </c>
      <c r="B9" s="41" t="s">
        <v>16</v>
      </c>
      <c r="J9" s="36" t="s">
        <v>17</v>
      </c>
      <c r="K9" s="37">
        <f>SUMIFS('Configurações e Perfis'!D:D, 'Configurações e Perfis'!B:B, B9, 'Configurações e Perfis'!C:C, "HOTELARIA")</f>
        <v>0</v>
      </c>
    </row>
    <row r="10" spans="1:11" ht="18.75">
      <c r="A10" s="28"/>
      <c r="B10" s="28"/>
    </row>
    <row r="18" spans="1:3" ht="31.5">
      <c r="A18" s="26"/>
      <c r="B18" s="26"/>
      <c r="C18" s="26"/>
    </row>
    <row r="19" spans="1:3" ht="31.5">
      <c r="A19" s="26" t="s">
        <v>18</v>
      </c>
      <c r="B19" s="26" t="str">
        <f>IF(E6 &gt; B5, "Meta Batida! 🎉", "Continue focado!")</f>
        <v>Meta Batida! 🎉</v>
      </c>
      <c r="C19" s="26"/>
    </row>
    <row r="20" spans="1:3" ht="31.5">
      <c r="A20" s="26"/>
      <c r="B20" s="26"/>
      <c r="C20" s="26"/>
    </row>
  </sheetData>
  <mergeCells count="1">
    <mergeCell ref="A2:B3"/>
  </mergeCells>
  <dataValidations count="1">
    <dataValidation type="list" allowBlank="1" showInputMessage="1" showErrorMessage="1" sqref="B9" xr:uid="{89D7559B-8666-40B5-BBB7-9DBEE23B23B3}">
      <formula1>"Conservador, Moderado, Agressivo"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2EF8E-0306-41A5-A1A2-248662AE8EFA}">
  <dimension ref="A1:E31"/>
  <sheetViews>
    <sheetView workbookViewId="0">
      <selection sqref="A1:E31"/>
    </sheetView>
  </sheetViews>
  <sheetFormatPr defaultRowHeight="15"/>
  <cols>
    <col min="2" max="2" width="14.42578125" bestFit="1" customWidth="1"/>
    <col min="3" max="3" width="15.85546875" bestFit="1" customWidth="1"/>
    <col min="4" max="4" width="21.85546875" customWidth="1"/>
    <col min="5" max="5" width="16" customWidth="1"/>
    <col min="6" max="6" width="19.7109375" customWidth="1"/>
  </cols>
  <sheetData>
    <row r="1" spans="1:5">
      <c r="A1" t="s">
        <v>19</v>
      </c>
      <c r="B1" s="2" t="s">
        <v>20</v>
      </c>
      <c r="C1" s="2" t="s">
        <v>6</v>
      </c>
      <c r="D1" s="2" t="s">
        <v>21</v>
      </c>
      <c r="E1" s="2" t="s">
        <v>22</v>
      </c>
    </row>
    <row r="2" spans="1:5">
      <c r="A2">
        <v>1</v>
      </c>
      <c r="B2" s="1">
        <f>Dashboard!B4</f>
        <v>10000</v>
      </c>
      <c r="C2" s="1">
        <f>Dashboard!B5</f>
        <v>500</v>
      </c>
      <c r="D2" s="1">
        <f>B2 * Dashboard!B7</f>
        <v>80</v>
      </c>
      <c r="E2" s="1">
        <f>B2 + C2 + D2</f>
        <v>10580</v>
      </c>
    </row>
    <row r="3" spans="1:5">
      <c r="A3">
        <f>A2+1</f>
        <v>2</v>
      </c>
      <c r="B3" s="1">
        <f>E2</f>
        <v>10580</v>
      </c>
      <c r="C3" s="1">
        <f>C2</f>
        <v>500</v>
      </c>
      <c r="D3" s="1">
        <f>B3 * Dashboard!$B$7</f>
        <v>84.64</v>
      </c>
      <c r="E3" s="1">
        <f>B3 + C3 + D3</f>
        <v>11164.64</v>
      </c>
    </row>
    <row r="4" spans="1:5">
      <c r="A4">
        <f t="shared" ref="A4:A41" si="0">A3+1</f>
        <v>3</v>
      </c>
      <c r="B4" s="1">
        <f t="shared" ref="B4:B31" si="1">E3</f>
        <v>11164.64</v>
      </c>
      <c r="C4" s="1">
        <f t="shared" ref="C4:C31" si="2">C3</f>
        <v>500</v>
      </c>
      <c r="D4" s="1">
        <f>B4 * Dashboard!$B$7</f>
        <v>89.317120000000003</v>
      </c>
      <c r="E4" s="1">
        <f>B4 + C4 + D4</f>
        <v>11753.957119999999</v>
      </c>
    </row>
    <row r="5" spans="1:5">
      <c r="A5">
        <f t="shared" si="0"/>
        <v>4</v>
      </c>
      <c r="B5" s="1">
        <f t="shared" si="1"/>
        <v>11753.957119999999</v>
      </c>
      <c r="C5" s="1">
        <f t="shared" si="2"/>
        <v>500</v>
      </c>
      <c r="D5" s="1">
        <f>B5 * Dashboard!$B$7</f>
        <v>94.031656959999992</v>
      </c>
      <c r="E5" s="1">
        <f t="shared" ref="E4:E31" si="3">B5 + C5 + D5</f>
        <v>12347.988776959999</v>
      </c>
    </row>
    <row r="6" spans="1:5">
      <c r="A6">
        <f t="shared" si="0"/>
        <v>5</v>
      </c>
      <c r="B6" s="1">
        <f>E5</f>
        <v>12347.988776959999</v>
      </c>
      <c r="C6" s="1">
        <f t="shared" si="2"/>
        <v>500</v>
      </c>
      <c r="D6" s="1">
        <f>B6 * Dashboard!$B$7</f>
        <v>98.783910215679995</v>
      </c>
      <c r="E6" s="1">
        <f t="shared" si="3"/>
        <v>12946.772687175679</v>
      </c>
    </row>
    <row r="7" spans="1:5">
      <c r="A7">
        <f t="shared" si="0"/>
        <v>6</v>
      </c>
      <c r="B7" s="1">
        <f t="shared" si="1"/>
        <v>12946.772687175679</v>
      </c>
      <c r="C7" s="1">
        <f t="shared" si="2"/>
        <v>500</v>
      </c>
      <c r="D7" s="1">
        <f>B7 * Dashboard!$B$7</f>
        <v>103.57418149740543</v>
      </c>
      <c r="E7" s="1">
        <f t="shared" si="3"/>
        <v>13550.346868673085</v>
      </c>
    </row>
    <row r="8" spans="1:5">
      <c r="A8">
        <f t="shared" si="0"/>
        <v>7</v>
      </c>
      <c r="B8" s="1">
        <f t="shared" si="1"/>
        <v>13550.346868673085</v>
      </c>
      <c r="C8" s="1">
        <f t="shared" si="2"/>
        <v>500</v>
      </c>
      <c r="D8" s="1">
        <f>B8 * Dashboard!$B$7</f>
        <v>108.40277494938468</v>
      </c>
      <c r="E8" s="1">
        <f t="shared" si="3"/>
        <v>14158.74964362247</v>
      </c>
    </row>
    <row r="9" spans="1:5">
      <c r="A9">
        <f t="shared" si="0"/>
        <v>8</v>
      </c>
      <c r="B9" s="1">
        <f t="shared" si="1"/>
        <v>14158.74964362247</v>
      </c>
      <c r="C9" s="1">
        <f t="shared" si="2"/>
        <v>500</v>
      </c>
      <c r="D9" s="1">
        <f>B9 * Dashboard!$B$7</f>
        <v>113.26999714897977</v>
      </c>
      <c r="E9" s="1">
        <f t="shared" si="3"/>
        <v>14772.01964077145</v>
      </c>
    </row>
    <row r="10" spans="1:5">
      <c r="A10">
        <f t="shared" si="0"/>
        <v>9</v>
      </c>
      <c r="B10" s="1">
        <f t="shared" si="1"/>
        <v>14772.01964077145</v>
      </c>
      <c r="C10" s="1">
        <f t="shared" si="2"/>
        <v>500</v>
      </c>
      <c r="D10" s="1">
        <f>B10 * Dashboard!$B$7</f>
        <v>118.1761571261716</v>
      </c>
      <c r="E10" s="1">
        <f t="shared" si="3"/>
        <v>15390.195797897622</v>
      </c>
    </row>
    <row r="11" spans="1:5">
      <c r="A11">
        <f t="shared" si="0"/>
        <v>10</v>
      </c>
      <c r="B11" s="1">
        <f t="shared" si="1"/>
        <v>15390.195797897622</v>
      </c>
      <c r="C11" s="1">
        <f t="shared" si="2"/>
        <v>500</v>
      </c>
      <c r="D11" s="1">
        <f>B11 * Dashboard!$B$7</f>
        <v>123.12156638318098</v>
      </c>
      <c r="E11" s="1">
        <f t="shared" si="3"/>
        <v>16013.317364280803</v>
      </c>
    </row>
    <row r="12" spans="1:5">
      <c r="A12">
        <f t="shared" si="0"/>
        <v>11</v>
      </c>
      <c r="B12" s="1">
        <f t="shared" si="1"/>
        <v>16013.317364280803</v>
      </c>
      <c r="C12" s="1">
        <f t="shared" si="2"/>
        <v>500</v>
      </c>
      <c r="D12" s="1">
        <f>B12 * Dashboard!$B$7</f>
        <v>128.10653891424644</v>
      </c>
      <c r="E12" s="1">
        <f t="shared" si="3"/>
        <v>16641.423903195049</v>
      </c>
    </row>
    <row r="13" spans="1:5">
      <c r="A13">
        <f t="shared" si="0"/>
        <v>12</v>
      </c>
      <c r="B13" s="1">
        <f t="shared" si="1"/>
        <v>16641.423903195049</v>
      </c>
      <c r="C13" s="1">
        <f t="shared" si="2"/>
        <v>500</v>
      </c>
      <c r="D13" s="1">
        <f>B13 * Dashboard!$B$7</f>
        <v>133.13139122556041</v>
      </c>
      <c r="E13" s="1">
        <f t="shared" si="3"/>
        <v>17274.55529442061</v>
      </c>
    </row>
    <row r="14" spans="1:5">
      <c r="A14">
        <f t="shared" si="0"/>
        <v>13</v>
      </c>
      <c r="B14" s="1">
        <f t="shared" si="1"/>
        <v>17274.55529442061</v>
      </c>
      <c r="C14" s="1">
        <f t="shared" si="2"/>
        <v>500</v>
      </c>
      <c r="D14" s="1">
        <f>B14 * Dashboard!$B$7</f>
        <v>138.19644235536489</v>
      </c>
      <c r="E14" s="1">
        <f t="shared" si="3"/>
        <v>17912.751736775976</v>
      </c>
    </row>
    <row r="15" spans="1:5">
      <c r="A15">
        <f t="shared" si="0"/>
        <v>14</v>
      </c>
      <c r="B15" s="1">
        <f t="shared" si="1"/>
        <v>17912.751736775976</v>
      </c>
      <c r="C15" s="1">
        <f t="shared" si="2"/>
        <v>500</v>
      </c>
      <c r="D15" s="1">
        <f>B15 * Dashboard!$B$7</f>
        <v>143.30201389420782</v>
      </c>
      <c r="E15" s="1">
        <f t="shared" si="3"/>
        <v>18556.053750670184</v>
      </c>
    </row>
    <row r="16" spans="1:5">
      <c r="A16">
        <f t="shared" si="0"/>
        <v>15</v>
      </c>
      <c r="B16" s="1">
        <f t="shared" si="1"/>
        <v>18556.053750670184</v>
      </c>
      <c r="C16" s="1">
        <f t="shared" si="2"/>
        <v>500</v>
      </c>
      <c r="D16" s="1">
        <f>B16 * Dashboard!$B$7</f>
        <v>148.44843000536147</v>
      </c>
      <c r="E16" s="1">
        <f t="shared" si="3"/>
        <v>19204.502180675547</v>
      </c>
    </row>
    <row r="17" spans="1:5">
      <c r="A17">
        <f t="shared" si="0"/>
        <v>16</v>
      </c>
      <c r="B17" s="1">
        <f t="shared" si="1"/>
        <v>19204.502180675547</v>
      </c>
      <c r="C17" s="1">
        <f t="shared" si="2"/>
        <v>500</v>
      </c>
      <c r="D17" s="1">
        <f>B17 * Dashboard!$B$7</f>
        <v>153.63601744540438</v>
      </c>
      <c r="E17" s="1">
        <f t="shared" si="3"/>
        <v>19858.138198120952</v>
      </c>
    </row>
    <row r="18" spans="1:5">
      <c r="A18">
        <f t="shared" si="0"/>
        <v>17</v>
      </c>
      <c r="B18" s="1">
        <f t="shared" si="1"/>
        <v>19858.138198120952</v>
      </c>
      <c r="C18" s="1">
        <f t="shared" si="2"/>
        <v>500</v>
      </c>
      <c r="D18" s="1">
        <f>B18 * Dashboard!$B$7</f>
        <v>158.86510558496764</v>
      </c>
      <c r="E18" s="1">
        <f t="shared" si="3"/>
        <v>20517.003303705918</v>
      </c>
    </row>
    <row r="19" spans="1:5">
      <c r="A19">
        <f t="shared" si="0"/>
        <v>18</v>
      </c>
      <c r="B19" s="1">
        <f t="shared" si="1"/>
        <v>20517.003303705918</v>
      </c>
      <c r="C19" s="1">
        <f t="shared" si="2"/>
        <v>500</v>
      </c>
      <c r="D19" s="1">
        <f>B19 * Dashboard!$B$7</f>
        <v>164.13602642964736</v>
      </c>
      <c r="E19" s="1">
        <f t="shared" si="3"/>
        <v>21181.139330135567</v>
      </c>
    </row>
    <row r="20" spans="1:5">
      <c r="A20">
        <f t="shared" si="0"/>
        <v>19</v>
      </c>
      <c r="B20" s="1">
        <f t="shared" si="1"/>
        <v>21181.139330135567</v>
      </c>
      <c r="C20" s="1">
        <f t="shared" si="2"/>
        <v>500</v>
      </c>
      <c r="D20" s="1">
        <f>B20 * Dashboard!$B$7</f>
        <v>169.44911464108455</v>
      </c>
      <c r="E20" s="1">
        <f t="shared" si="3"/>
        <v>21850.588444776651</v>
      </c>
    </row>
    <row r="21" spans="1:5">
      <c r="A21">
        <f t="shared" si="0"/>
        <v>20</v>
      </c>
      <c r="B21" s="1">
        <f t="shared" si="1"/>
        <v>21850.588444776651</v>
      </c>
      <c r="C21" s="1">
        <f t="shared" si="2"/>
        <v>500</v>
      </c>
      <c r="D21" s="1">
        <f>B21 * Dashboard!$B$7</f>
        <v>174.80470755821321</v>
      </c>
      <c r="E21" s="1">
        <f t="shared" si="3"/>
        <v>22525.393152334866</v>
      </c>
    </row>
    <row r="22" spans="1:5">
      <c r="A22">
        <f t="shared" si="0"/>
        <v>21</v>
      </c>
      <c r="B22" s="1">
        <f t="shared" si="1"/>
        <v>22525.393152334866</v>
      </c>
      <c r="C22" s="1">
        <f t="shared" si="2"/>
        <v>500</v>
      </c>
      <c r="D22" s="1">
        <f>B22 * Dashboard!$B$7</f>
        <v>180.20314521867894</v>
      </c>
      <c r="E22" s="1">
        <f t="shared" si="3"/>
        <v>23205.596297553544</v>
      </c>
    </row>
    <row r="23" spans="1:5">
      <c r="A23">
        <f t="shared" si="0"/>
        <v>22</v>
      </c>
      <c r="B23" s="1">
        <f t="shared" si="1"/>
        <v>23205.596297553544</v>
      </c>
      <c r="C23" s="1">
        <f t="shared" si="2"/>
        <v>500</v>
      </c>
      <c r="D23" s="1">
        <f>B23 * Dashboard!$B$7</f>
        <v>185.64477038042835</v>
      </c>
      <c r="E23" s="1">
        <f t="shared" si="3"/>
        <v>23891.241067933974</v>
      </c>
    </row>
    <row r="24" spans="1:5">
      <c r="A24">
        <f t="shared" si="0"/>
        <v>23</v>
      </c>
      <c r="B24" s="1">
        <f t="shared" si="1"/>
        <v>23891.241067933974</v>
      </c>
      <c r="C24" s="1">
        <f t="shared" si="2"/>
        <v>500</v>
      </c>
      <c r="D24" s="1">
        <f>B24 * Dashboard!$B$7</f>
        <v>191.12992854347181</v>
      </c>
      <c r="E24" s="1">
        <f t="shared" si="3"/>
        <v>24582.370996477446</v>
      </c>
    </row>
    <row r="25" spans="1:5">
      <c r="A25">
        <f t="shared" si="0"/>
        <v>24</v>
      </c>
      <c r="B25" s="1">
        <f t="shared" si="1"/>
        <v>24582.370996477446</v>
      </c>
      <c r="C25" s="1">
        <f t="shared" si="2"/>
        <v>500</v>
      </c>
      <c r="D25" s="1">
        <f>B25 * Dashboard!$B$7</f>
        <v>196.65896797181958</v>
      </c>
      <c r="E25" s="1">
        <f t="shared" si="3"/>
        <v>25279.029964449266</v>
      </c>
    </row>
    <row r="26" spans="1:5">
      <c r="A26">
        <f t="shared" si="0"/>
        <v>25</v>
      </c>
      <c r="B26" s="1">
        <f t="shared" si="1"/>
        <v>25279.029964449266</v>
      </c>
      <c r="C26" s="1">
        <f t="shared" si="2"/>
        <v>500</v>
      </c>
      <c r="D26" s="1">
        <f>B26 * Dashboard!$B$7</f>
        <v>202.23223971559412</v>
      </c>
      <c r="E26" s="1">
        <f t="shared" si="3"/>
        <v>25981.262204164861</v>
      </c>
    </row>
    <row r="27" spans="1:5">
      <c r="A27">
        <f t="shared" si="0"/>
        <v>26</v>
      </c>
      <c r="B27" s="1">
        <f t="shared" si="1"/>
        <v>25981.262204164861</v>
      </c>
      <c r="C27" s="1">
        <f t="shared" si="2"/>
        <v>500</v>
      </c>
      <c r="D27" s="1">
        <f>B27 * Dashboard!$B$7</f>
        <v>207.85009763331888</v>
      </c>
      <c r="E27" s="1">
        <f t="shared" si="3"/>
        <v>26689.112301798181</v>
      </c>
    </row>
    <row r="28" spans="1:5">
      <c r="A28">
        <f t="shared" si="0"/>
        <v>27</v>
      </c>
      <c r="B28" s="1">
        <f t="shared" si="1"/>
        <v>26689.112301798181</v>
      </c>
      <c r="C28" s="1">
        <f t="shared" si="2"/>
        <v>500</v>
      </c>
      <c r="D28" s="1">
        <f>B28 * Dashboard!$B$7</f>
        <v>213.51289841438546</v>
      </c>
      <c r="E28" s="1">
        <f t="shared" si="3"/>
        <v>27402.625200212566</v>
      </c>
    </row>
    <row r="29" spans="1:5">
      <c r="A29">
        <f t="shared" si="0"/>
        <v>28</v>
      </c>
      <c r="B29" s="1">
        <f t="shared" si="1"/>
        <v>27402.625200212566</v>
      </c>
      <c r="C29" s="1">
        <f t="shared" si="2"/>
        <v>500</v>
      </c>
      <c r="D29" s="1">
        <f>B29 * Dashboard!$B$7</f>
        <v>219.22100160170052</v>
      </c>
      <c r="E29" s="1">
        <f t="shared" si="3"/>
        <v>28121.846201814267</v>
      </c>
    </row>
    <row r="30" spans="1:5">
      <c r="A30">
        <f t="shared" si="0"/>
        <v>29</v>
      </c>
      <c r="B30" s="1">
        <f t="shared" si="1"/>
        <v>28121.846201814267</v>
      </c>
      <c r="C30" s="1">
        <f t="shared" si="2"/>
        <v>500</v>
      </c>
      <c r="D30" s="1">
        <f>B30 * Dashboard!$B$7</f>
        <v>224.97476961451414</v>
      </c>
      <c r="E30" s="1">
        <f t="shared" si="3"/>
        <v>28846.82097142878</v>
      </c>
    </row>
    <row r="31" spans="1:5">
      <c r="A31">
        <f t="shared" si="0"/>
        <v>30</v>
      </c>
      <c r="B31" s="1">
        <f t="shared" si="1"/>
        <v>28846.82097142878</v>
      </c>
      <c r="C31" s="1">
        <f t="shared" si="2"/>
        <v>500</v>
      </c>
      <c r="D31" s="1">
        <f>B31 * Dashboard!$B$7</f>
        <v>230.77456777143024</v>
      </c>
      <c r="E31" s="1">
        <f t="shared" si="3"/>
        <v>29577.595539200211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550B7-0BA4-4B1D-9160-A4200566B74B}">
  <dimension ref="B2:D20"/>
  <sheetViews>
    <sheetView workbookViewId="0">
      <selection activeCell="B2" sqref="B2:D20"/>
    </sheetView>
  </sheetViews>
  <sheetFormatPr defaultRowHeight="15"/>
  <cols>
    <col min="2" max="2" width="16.7109375" customWidth="1"/>
    <col min="3" max="3" width="25.28515625" customWidth="1"/>
    <col min="4" max="4" width="18.28515625" customWidth="1"/>
  </cols>
  <sheetData>
    <row r="2" spans="2:4">
      <c r="B2" s="20" t="s">
        <v>23</v>
      </c>
      <c r="C2" s="20" t="s">
        <v>24</v>
      </c>
      <c r="D2" s="20" t="s">
        <v>25</v>
      </c>
    </row>
    <row r="3" spans="2:4">
      <c r="B3" s="21" t="s">
        <v>16</v>
      </c>
      <c r="C3" s="21" t="s">
        <v>7</v>
      </c>
      <c r="D3" s="22">
        <v>0.3</v>
      </c>
    </row>
    <row r="4" spans="2:4">
      <c r="B4" s="21" t="s">
        <v>16</v>
      </c>
      <c r="C4" s="21" t="s">
        <v>5</v>
      </c>
      <c r="D4" s="22">
        <v>0.5</v>
      </c>
    </row>
    <row r="5" spans="2:4">
      <c r="B5" s="21" t="s">
        <v>16</v>
      </c>
      <c r="C5" s="21" t="s">
        <v>10</v>
      </c>
      <c r="D5" s="22">
        <v>0.1</v>
      </c>
    </row>
    <row r="6" spans="2:4">
      <c r="B6" s="21" t="s">
        <v>16</v>
      </c>
      <c r="C6" s="21" t="s">
        <v>12</v>
      </c>
      <c r="D6" s="22">
        <v>0.1</v>
      </c>
    </row>
    <row r="7" spans="2:4">
      <c r="B7" s="21" t="s">
        <v>16</v>
      </c>
      <c r="C7" s="21" t="s">
        <v>14</v>
      </c>
      <c r="D7" s="22">
        <v>0</v>
      </c>
    </row>
    <row r="8" spans="2:4">
      <c r="B8" s="21" t="s">
        <v>16</v>
      </c>
      <c r="C8" s="21" t="s">
        <v>17</v>
      </c>
      <c r="D8" s="22">
        <v>0</v>
      </c>
    </row>
    <row r="9" spans="2:4">
      <c r="B9" s="21" t="s">
        <v>26</v>
      </c>
      <c r="C9" s="21" t="s">
        <v>7</v>
      </c>
      <c r="D9" s="22">
        <v>0.32</v>
      </c>
    </row>
    <row r="10" spans="2:4">
      <c r="B10" s="21" t="s">
        <v>26</v>
      </c>
      <c r="C10" s="21" t="s">
        <v>5</v>
      </c>
      <c r="D10" s="23">
        <v>0.35</v>
      </c>
    </row>
    <row r="11" spans="2:4">
      <c r="B11" s="21" t="s">
        <v>26</v>
      </c>
      <c r="C11" s="21" t="s">
        <v>10</v>
      </c>
      <c r="D11" s="22">
        <v>0.08</v>
      </c>
    </row>
    <row r="12" spans="2:4">
      <c r="B12" s="21" t="s">
        <v>26</v>
      </c>
      <c r="C12" s="21" t="s">
        <v>12</v>
      </c>
      <c r="D12" s="22">
        <v>0.05</v>
      </c>
    </row>
    <row r="13" spans="2:4">
      <c r="B13" s="21" t="s">
        <v>26</v>
      </c>
      <c r="C13" s="21" t="s">
        <v>14</v>
      </c>
      <c r="D13" s="22">
        <v>0.1</v>
      </c>
    </row>
    <row r="14" spans="2:4">
      <c r="B14" s="21" t="s">
        <v>26</v>
      </c>
      <c r="C14" s="21" t="s">
        <v>17</v>
      </c>
      <c r="D14" s="22">
        <v>0.1</v>
      </c>
    </row>
    <row r="15" spans="2:4">
      <c r="B15" s="21" t="s">
        <v>27</v>
      </c>
      <c r="C15" s="21" t="s">
        <v>5</v>
      </c>
      <c r="D15" s="22">
        <v>0.5</v>
      </c>
    </row>
    <row r="16" spans="2:4">
      <c r="B16" s="21" t="s">
        <v>27</v>
      </c>
      <c r="C16" s="21" t="s">
        <v>7</v>
      </c>
      <c r="D16" s="22">
        <v>0.1</v>
      </c>
    </row>
    <row r="17" spans="2:4">
      <c r="B17" s="21" t="s">
        <v>27</v>
      </c>
      <c r="C17" s="21" t="s">
        <v>10</v>
      </c>
      <c r="D17" s="22">
        <v>0.05</v>
      </c>
    </row>
    <row r="18" spans="2:4">
      <c r="B18" s="21" t="s">
        <v>27</v>
      </c>
      <c r="C18" s="21" t="s">
        <v>12</v>
      </c>
      <c r="D18" s="22">
        <v>0.05</v>
      </c>
    </row>
    <row r="19" spans="2:4">
      <c r="B19" s="21" t="s">
        <v>27</v>
      </c>
      <c r="C19" s="21" t="s">
        <v>14</v>
      </c>
      <c r="D19" s="22">
        <v>0.2</v>
      </c>
    </row>
    <row r="20" spans="2:4">
      <c r="B20" s="21" t="s">
        <v>27</v>
      </c>
      <c r="C20" s="21" t="s">
        <v>17</v>
      </c>
      <c r="D20" s="22">
        <v>0.1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C451D-F383-4C67-ADA2-52F22506EF42}">
  <dimension ref="A1:H13"/>
  <sheetViews>
    <sheetView workbookViewId="0">
      <selection activeCell="D13" sqref="D13"/>
    </sheetView>
  </sheetViews>
  <sheetFormatPr defaultRowHeight="15"/>
  <cols>
    <col min="1" max="1" width="9.85546875" bestFit="1" customWidth="1"/>
    <col min="2" max="2" width="17.28515625" bestFit="1" customWidth="1"/>
    <col min="3" max="3" width="19.28515625" bestFit="1" customWidth="1"/>
    <col min="4" max="4" width="36.5703125" bestFit="1" customWidth="1"/>
    <col min="5" max="5" width="25.5703125" bestFit="1" customWidth="1"/>
    <col min="7" max="7" width="35.28515625" bestFit="1" customWidth="1"/>
    <col min="8" max="8" width="22" customWidth="1"/>
  </cols>
  <sheetData>
    <row r="1" spans="1:8" ht="16.5">
      <c r="A1" s="16" t="s">
        <v>28</v>
      </c>
      <c r="B1" s="16" t="s">
        <v>29</v>
      </c>
      <c r="C1" s="16" t="s">
        <v>30</v>
      </c>
      <c r="D1" s="17" t="s">
        <v>31</v>
      </c>
    </row>
    <row r="2" spans="1:8" ht="33.75">
      <c r="A2" s="16" t="s">
        <v>5</v>
      </c>
      <c r="B2" s="18" t="s">
        <v>32</v>
      </c>
      <c r="C2" s="18" t="s">
        <v>33</v>
      </c>
      <c r="D2" s="19" t="s">
        <v>34</v>
      </c>
    </row>
    <row r="3" spans="1:8" ht="16.5">
      <c r="A3" s="16" t="s">
        <v>5</v>
      </c>
      <c r="B3" s="18" t="s">
        <v>35</v>
      </c>
      <c r="C3" s="18" t="s">
        <v>36</v>
      </c>
      <c r="D3" s="19" t="s">
        <v>37</v>
      </c>
    </row>
    <row r="4" spans="1:8" ht="16.5">
      <c r="A4" s="16" t="s">
        <v>7</v>
      </c>
      <c r="B4" s="18" t="s">
        <v>38</v>
      </c>
      <c r="C4" s="18" t="s">
        <v>39</v>
      </c>
      <c r="D4" s="19" t="s">
        <v>40</v>
      </c>
    </row>
    <row r="5" spans="1:8" ht="16.5">
      <c r="A5" s="16" t="s">
        <v>7</v>
      </c>
      <c r="B5" s="18" t="s">
        <v>41</v>
      </c>
      <c r="C5" s="18" t="s">
        <v>42</v>
      </c>
      <c r="D5" s="19" t="s">
        <v>43</v>
      </c>
    </row>
    <row r="6" spans="1:8" ht="16.5">
      <c r="A6" s="16" t="s">
        <v>44</v>
      </c>
      <c r="B6" s="18" t="s">
        <v>45</v>
      </c>
      <c r="C6" s="18" t="s">
        <v>46</v>
      </c>
      <c r="D6" s="19" t="s">
        <v>47</v>
      </c>
    </row>
    <row r="8" spans="1:8">
      <c r="F8" s="9"/>
    </row>
    <row r="9" spans="1:8">
      <c r="F9" s="10"/>
    </row>
    <row r="10" spans="1:8">
      <c r="E10" s="3"/>
      <c r="F10" s="5"/>
      <c r="G10" s="12"/>
      <c r="H10" s="13"/>
    </row>
    <row r="11" spans="1:8" ht="15.75">
      <c r="E11" s="11" t="s">
        <v>48</v>
      </c>
      <c r="F11" s="5"/>
      <c r="G11" s="14" t="str" cm="1">
        <f t="array" ref="G11:H12">_xlfn._xlws.FILTER(Ativos!B:C, Ativos!A:A="PAPEL")</f>
        <v>MXRF11</v>
      </c>
      <c r="H11" s="15" t="str">
        <v>Maxi Renda</v>
      </c>
    </row>
    <row r="12" spans="1:8">
      <c r="E12" s="4"/>
      <c r="F12" s="5"/>
      <c r="G12" s="14" t="str">
        <v>CPTS11</v>
      </c>
      <c r="H12" s="15" t="str">
        <v>Capitânia Securities</v>
      </c>
    </row>
    <row r="13" spans="1:8">
      <c r="E13" s="6"/>
      <c r="F13" s="7"/>
      <c r="G13" s="7"/>
      <c r="H13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2026-02-15T18:29:35Z</dcterms:created>
  <dcterms:modified xsi:type="dcterms:W3CDTF">2026-02-15T21:29:43Z</dcterms:modified>
  <cp:category/>
  <cp:contentStatus/>
</cp:coreProperties>
</file>